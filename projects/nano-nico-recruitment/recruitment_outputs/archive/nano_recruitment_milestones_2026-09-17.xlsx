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ANO_Milestone_Summary" sheetId="1" state="visible" r:id="rId1"/>
  </sheets>
  <definedNames>
    <definedName name="_xlnm._FilterDatabase" localSheetId="0" hidden="1">'NANO_Milestone_Summary'!$A$26:$O$37</definedName>
    <definedName name="_xlnm.Print_Titles" localSheetId="0">'NANO_Milestone_Summary'!$1:$4</definedName>
  </definedNames>
  <calcPr calcId="124519" calcMode="auto" fullCalcOnLoad="1" forceFullCalc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11"/>
    </font>
    <font>
      <name val="Arial"/>
      <b val="1"/>
      <color rgb="00000000"/>
      <sz val="10"/>
    </font>
    <font>
      <name val="Arial"/>
      <b val="1"/>
      <color rgb="00FFFFFF"/>
      <sz val="10"/>
      <u val="single"/>
    </font>
    <font>
      <name val="Arial"/>
      <b val="1"/>
      <color rgb="00000000"/>
      <sz val="10"/>
      <u val="single"/>
    </font>
    <font>
      <name val="Arial"/>
      <color rgb="00000000"/>
      <sz val="10"/>
    </font>
  </fonts>
  <fills count="8">
    <fill>
      <patternFill/>
    </fill>
    <fill>
      <patternFill patternType="gray125"/>
    </fill>
    <fill>
      <patternFill patternType="solid">
        <fgColor rgb="007B7F86"/>
      </patternFill>
    </fill>
    <fill>
      <patternFill patternType="solid">
        <fgColor rgb="00EEF0F3"/>
      </patternFill>
    </fill>
    <fill>
      <patternFill patternType="solid">
        <fgColor rgb="006697C5"/>
      </patternFill>
    </fill>
    <fill>
      <patternFill patternType="solid">
        <fgColor rgb="00FFB12B"/>
      </patternFill>
    </fill>
    <fill>
      <patternFill patternType="solid">
        <fgColor rgb="00C7C7C7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AAB3BE"/>
      </left>
      <right style="thin">
        <color rgb="00AAB3BE"/>
      </right>
      <top style="thin">
        <color rgb="00AAB3BE"/>
      </top>
      <bottom style="thin">
        <color rgb="00AAB3BE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2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 wrapText="1"/>
    </xf>
    <xf numFmtId="0" fontId="1" fillId="4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6" fillId="6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6" fillId="7" borderId="1" applyAlignment="1" pivotButton="0" quotePrefix="0" xfId="0">
      <alignment horizontal="center" vertical="center"/>
    </xf>
    <xf numFmtId="9" fontId="3" fillId="7" borderId="1" applyAlignment="1" pivotButton="0" quotePrefix="0" xfId="0">
      <alignment horizontal="center" vertical="center"/>
    </xf>
    <xf numFmtId="9" fontId="3" fillId="5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left" vertical="center"/>
    </xf>
    <xf numFmtId="0" fontId="1" fillId="4" borderId="1" applyAlignment="1" pivotButton="0" quotePrefix="0" xfId="0">
      <alignment horizontal="left" vertical="center" wrapText="1"/>
    </xf>
    <xf numFmtId="0" fontId="6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dxfs count="2">
    <dxf>
      <font>
        <b val="1"/>
        <color rgb="002E7D32"/>
      </font>
    </dxf>
    <dxf>
      <font>
        <b val="1"/>
        <color rgb="00C0392B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O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4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  <col width="13" customWidth="1" min="12" max="12"/>
    <col width="13" customWidth="1" min="13" max="13"/>
    <col width="13" customWidth="1" min="14" max="14"/>
    <col width="13" customWidth="1" min="15" max="15"/>
  </cols>
  <sheetData>
    <row r="1" ht="20" customHeight="1">
      <c r="A1" s="1" t="inlineStr">
        <is>
          <t>Recruitment Milestones for MH132925 - The Role of Autonomic Regulation of Attention in the Emergence of ASD</t>
        </is>
      </c>
    </row>
    <row r="2" ht="34" customHeight="1">
      <c r="A2" s="2" t="inlineStr">
        <is>
          <t>Source status: no protocol-confirmed enrollment status/date mapping is present; diagnostic dates are not used. Missing values are N/A.</t>
        </is>
      </c>
    </row>
    <row r="3">
      <c r="A3" s="3" t="inlineStr">
        <is>
          <t>Tri Yearly Milestones</t>
        </is>
      </c>
      <c r="B3" s="3" t="n">
        <v>2024</v>
      </c>
      <c r="C3" s="3" t="n"/>
      <c r="D3" s="3" t="n">
        <v>2025</v>
      </c>
      <c r="E3" s="3" t="n"/>
      <c r="F3" s="3" t="n"/>
      <c r="G3" s="3" t="n">
        <v>2026</v>
      </c>
      <c r="H3" s="3" t="n"/>
      <c r="I3" s="3" t="n"/>
      <c r="J3" s="3" t="n">
        <v>2027</v>
      </c>
      <c r="K3" s="3" t="n"/>
      <c r="L3" s="3" t="n"/>
      <c r="M3" s="3" t="n">
        <v>2028</v>
      </c>
      <c r="N3" s="3" t="n"/>
      <c r="O3" s="3" t="n"/>
    </row>
    <row r="4">
      <c r="B4" s="4" t="inlineStr">
        <is>
          <t>Aug 1</t>
        </is>
      </c>
      <c r="C4" s="4" t="inlineStr">
        <is>
          <t>Dec 1</t>
        </is>
      </c>
      <c r="D4" s="4" t="inlineStr">
        <is>
          <t>Apr 1</t>
        </is>
      </c>
      <c r="E4" s="4" t="inlineStr">
        <is>
          <t>Aug 1</t>
        </is>
      </c>
      <c r="F4" s="4" t="inlineStr">
        <is>
          <t>Dec 1</t>
        </is>
      </c>
      <c r="G4" s="4" t="inlineStr">
        <is>
          <t>Apr 1</t>
        </is>
      </c>
      <c r="H4" s="4" t="inlineStr">
        <is>
          <t>Aug 1</t>
        </is>
      </c>
      <c r="I4" s="5" t="inlineStr">
        <is>
          <t>Dec 1</t>
        </is>
      </c>
      <c r="J4" s="4" t="inlineStr">
        <is>
          <t>Apr 1</t>
        </is>
      </c>
      <c r="K4" s="4" t="inlineStr">
        <is>
          <t>Aug 1</t>
        </is>
      </c>
      <c r="L4" s="4" t="inlineStr">
        <is>
          <t>Dec 1</t>
        </is>
      </c>
      <c r="M4" s="4" t="inlineStr">
        <is>
          <t>Apr 1</t>
        </is>
      </c>
      <c r="N4" s="4" t="inlineStr">
        <is>
          <t>Aug 1</t>
        </is>
      </c>
      <c r="O4" s="4" t="inlineStr">
        <is>
          <t>Dec 1</t>
        </is>
      </c>
    </row>
    <row r="5" ht="10" customHeight="1">
      <c r="A5" s="6" t="n"/>
      <c r="B5" s="6" t="n"/>
      <c r="C5" s="6" t="n"/>
      <c r="D5" s="6" t="n"/>
      <c r="E5" s="6" t="n"/>
      <c r="F5" s="6" t="n"/>
      <c r="G5" s="6" t="n"/>
      <c r="H5" s="6" t="n"/>
      <c r="I5" s="6" t="n"/>
      <c r="J5" s="6" t="n"/>
      <c r="K5" s="6" t="n"/>
      <c r="L5" s="6" t="n"/>
      <c r="M5" s="6" t="n"/>
      <c r="N5" s="6" t="n"/>
      <c r="O5" s="6" t="n"/>
    </row>
    <row r="6">
      <c r="A6" s="7" t="inlineStr">
        <is>
          <t>Previous Target: Total Recruitment</t>
        </is>
      </c>
      <c r="B6" s="8" t="n">
        <v>90</v>
      </c>
      <c r="C6" s="8" t="n">
        <v>110</v>
      </c>
      <c r="D6" s="8" t="n">
        <v>130</v>
      </c>
      <c r="E6" s="8" t="n">
        <v>150</v>
      </c>
      <c r="F6" s="8" t="n">
        <v>170</v>
      </c>
      <c r="G6" s="8" t="n">
        <v>190</v>
      </c>
      <c r="H6" s="8" t="n">
        <v>200</v>
      </c>
      <c r="I6" s="9" t="n"/>
      <c r="J6" s="8" t="n"/>
      <c r="K6" s="8" t="n"/>
      <c r="L6" s="8" t="n">
        <v>160</v>
      </c>
      <c r="M6" s="8" t="n"/>
      <c r="N6" s="8" t="n"/>
      <c r="O6" s="8" t="n"/>
    </row>
    <row r="7">
      <c r="A7" s="7" t="inlineStr">
        <is>
          <t>Current Target: Total Recruitment</t>
        </is>
      </c>
      <c r="B7" s="10" t="n">
        <v>5</v>
      </c>
      <c r="C7" s="10" t="n">
        <v>10</v>
      </c>
      <c r="D7" s="10" t="n">
        <v>110</v>
      </c>
      <c r="E7" s="10" t="n">
        <v>120</v>
      </c>
      <c r="F7" s="10" t="n">
        <v>130</v>
      </c>
      <c r="G7" s="10" t="n">
        <v>140</v>
      </c>
      <c r="H7" s="10" t="n">
        <v>150</v>
      </c>
      <c r="I7" s="9" t="n">
        <v>160</v>
      </c>
      <c r="J7" s="10" t="n">
        <v>170</v>
      </c>
      <c r="K7" s="10" t="n">
        <v>180</v>
      </c>
      <c r="L7" s="10" t="n">
        <v>190</v>
      </c>
      <c r="M7" s="10" t="n">
        <v>200</v>
      </c>
      <c r="N7" s="10" t="n"/>
      <c r="O7" s="10" t="n"/>
    </row>
    <row r="8">
      <c r="A8" s="7" t="inlineStr">
        <is>
          <t>Actual: Total Recruitment</t>
        </is>
      </c>
      <c r="B8" s="11" t="n">
        <v>63</v>
      </c>
      <c r="C8" s="11" t="n">
        <v>108</v>
      </c>
      <c r="D8" s="11" t="n">
        <v>128</v>
      </c>
      <c r="E8" s="11" t="n">
        <v>151</v>
      </c>
      <c r="F8" s="11" t="n">
        <v>172</v>
      </c>
      <c r="G8" s="11" t="n">
        <v>219</v>
      </c>
      <c r="H8" s="11" t="n"/>
      <c r="I8" s="9" t="n"/>
      <c r="J8" s="11" t="n"/>
      <c r="K8" s="11" t="n"/>
      <c r="L8" s="11" t="n"/>
      <c r="M8" s="11" t="n"/>
      <c r="N8" s="11" t="n"/>
      <c r="O8" s="11" t="n"/>
    </row>
    <row r="9">
      <c r="A9" s="7" t="inlineStr">
        <is>
          <t>Actual/Target Ratio: Total Recruitment</t>
        </is>
      </c>
      <c r="B9" s="12">
        <f>IF(OR(B8="",B7="",B7=0),"N/A",B8/B7)</f>
        <v/>
      </c>
      <c r="C9" s="12">
        <f>IF(OR(C8="",C7="",C7=0),"N/A",C8/C7)</f>
        <v/>
      </c>
      <c r="D9" s="12">
        <f>IF(OR(D8="",D7="",D7=0),"N/A",D8/D7)</f>
        <v/>
      </c>
      <c r="E9" s="12">
        <f>IF(OR(E8="",E7="",E7=0),"N/A",E8/E7)</f>
        <v/>
      </c>
      <c r="F9" s="12">
        <f>IF(OR(F8="",F7="",F7=0),"N/A",F8/F7)</f>
        <v/>
      </c>
      <c r="G9" s="12">
        <f>IF(OR(G8="",G7="",G7=0),"N/A",G8/G7)</f>
        <v/>
      </c>
      <c r="H9" s="12">
        <f>IF(OR(H8="",H7="",H7=0),"N/A",H8/H7)</f>
        <v/>
      </c>
      <c r="I9" s="13">
        <f>IF(OR(I8="",I7="",I7=0),"N/A",I8/I7)</f>
        <v/>
      </c>
      <c r="J9" s="12">
        <f>IF(OR(J8="",J7="",J7=0),"N/A",J8/J7)</f>
        <v/>
      </c>
      <c r="K9" s="12">
        <f>IF(OR(K8="",K7="",K7=0),"N/A",K8/K7)</f>
        <v/>
      </c>
      <c r="L9" s="12">
        <f>IF(OR(L8="",L7="",L7=0),"N/A",L8/L7)</f>
        <v/>
      </c>
      <c r="M9" s="12">
        <f>IF(OR(M8="",M7="",M7=0),"N/A",M8/M7)</f>
        <v/>
      </c>
      <c r="N9" s="12">
        <f>IF(OR(N8="",N7="",N7=0),"N/A",N8/N7)</f>
        <v/>
      </c>
      <c r="O9" s="12">
        <f>IF(OR(O8="",O7="",O7=0),"N/A",O8/O7)</f>
        <v/>
      </c>
    </row>
    <row r="10">
      <c r="A10" s="7" t="inlineStr">
        <is>
          <t>Status: Total Recruitment</t>
        </is>
      </c>
      <c r="B10" s="10">
        <f>IF(OR(B7="",B7=0),"N/A",IF(B8="","Not reported",IF(B8&gt;=B7,"On target","Behind")))</f>
        <v/>
      </c>
      <c r="C10" s="10">
        <f>IF(OR(C7="",C7=0),"N/A",IF(C8="","Not reported",IF(C8&gt;=C7,"On target","Behind")))</f>
        <v/>
      </c>
      <c r="D10" s="10">
        <f>IF(OR(D7="",D7=0),"N/A",IF(D8="","Not reported",IF(D8&gt;=D7,"On target","Behind")))</f>
        <v/>
      </c>
      <c r="E10" s="10">
        <f>IF(OR(E7="",E7=0),"N/A",IF(E8="","Not reported",IF(E8&gt;=E7,"On target","Behind")))</f>
        <v/>
      </c>
      <c r="F10" s="10">
        <f>IF(OR(F7="",F7=0),"N/A",IF(F8="","Not reported",IF(F8&gt;=F7,"On target","Behind")))</f>
        <v/>
      </c>
      <c r="G10" s="10">
        <f>IF(OR(G7="",G7=0),"N/A",IF(G8="","Not reported",IF(G8&gt;=G7,"On target","Behind")))</f>
        <v/>
      </c>
      <c r="H10" s="10">
        <f>IF(OR(H7="",H7=0),"N/A",IF(H8="","Not reported",IF(H8&gt;=H7,"On target","Behind")))</f>
        <v/>
      </c>
      <c r="I10" s="9">
        <f>IF(OR(I7="",I7=0),"N/A",IF(I8="","Not reported",IF(I8&gt;=I7,"On target","Behind")))</f>
        <v/>
      </c>
      <c r="J10" s="10">
        <f>IF(OR(J7="",J7=0),"N/A",IF(J8="","Not reported",IF(J8&gt;=J7,"On target","Behind")))</f>
        <v/>
      </c>
      <c r="K10" s="10">
        <f>IF(OR(K7="",K7=0),"N/A",IF(K8="","Not reported",IF(K8&gt;=K7,"On target","Behind")))</f>
        <v/>
      </c>
      <c r="L10" s="10">
        <f>IF(OR(L7="",L7=0),"N/A",IF(L8="","Not reported",IF(L8&gt;=L7,"On target","Behind")))</f>
        <v/>
      </c>
      <c r="M10" s="10">
        <f>IF(OR(M7="",M7=0),"N/A",IF(M8="","Not reported",IF(M8&gt;=M7,"On target","Behind")))</f>
        <v/>
      </c>
      <c r="N10" s="10">
        <f>IF(OR(N7="",N7=0),"N/A",IF(N8="","Not reported",IF(N8&gt;=N7,"On target","Behind")))</f>
        <v/>
      </c>
      <c r="O10" s="10">
        <f>IF(OR(O7="",O7=0),"N/A",IF(O8="","Not reported",IF(O8&gt;=O7,"On target","Behind")))</f>
        <v/>
      </c>
    </row>
    <row r="11" ht="10" customHeight="1">
      <c r="A11" s="6" t="n"/>
      <c r="B11" s="6" t="n"/>
      <c r="C11" s="6" t="n"/>
      <c r="D11" s="6" t="n"/>
      <c r="E11" s="6" t="n"/>
      <c r="F11" s="6" t="n"/>
      <c r="G11" s="6" t="n"/>
      <c r="H11" s="6" t="n"/>
      <c r="I11" s="6" t="n"/>
      <c r="J11" s="6" t="n"/>
      <c r="K11" s="6" t="n"/>
      <c r="L11" s="6" t="n"/>
      <c r="M11" s="6" t="n"/>
      <c r="N11" s="6" t="n"/>
      <c r="O11" s="6" t="n"/>
    </row>
    <row r="12">
      <c r="A12" s="7" t="inlineStr">
        <is>
          <t>Previous Target: Racial Minority Recruitment</t>
        </is>
      </c>
      <c r="B12" s="8" t="n">
        <v>36</v>
      </c>
      <c r="C12" s="8" t="n">
        <v>44</v>
      </c>
      <c r="D12" s="8" t="n">
        <v>52</v>
      </c>
      <c r="E12" s="8" t="n">
        <v>60</v>
      </c>
      <c r="F12" s="8" t="n">
        <v>68</v>
      </c>
      <c r="G12" s="8" t="n">
        <v>76</v>
      </c>
      <c r="H12" s="8" t="n">
        <v>84</v>
      </c>
      <c r="I12" s="9" t="n"/>
      <c r="J12" s="8" t="n"/>
      <c r="K12" s="8" t="n"/>
      <c r="L12" s="8" t="n">
        <v>32</v>
      </c>
      <c r="M12" s="8" t="n"/>
      <c r="N12" s="8" t="n"/>
      <c r="O12" s="8" t="n"/>
    </row>
    <row r="13">
      <c r="A13" s="7" t="inlineStr">
        <is>
          <t>Current Target: Racial Minority Recruitment</t>
        </is>
      </c>
      <c r="B13" s="10" t="n">
        <v>1</v>
      </c>
      <c r="C13" s="10" t="n">
        <v>2</v>
      </c>
      <c r="D13" s="10" t="n"/>
      <c r="E13" s="10" t="n"/>
      <c r="F13" s="10" t="n"/>
      <c r="G13" s="10" t="n"/>
      <c r="H13" s="10" t="n"/>
      <c r="I13" s="9" t="n"/>
      <c r="J13" s="10" t="n"/>
      <c r="K13" s="10" t="n"/>
      <c r="L13" s="10" t="n"/>
      <c r="M13" s="10" t="n">
        <v>40</v>
      </c>
      <c r="N13" s="10" t="n"/>
      <c r="O13" s="10" t="n"/>
    </row>
    <row r="14">
      <c r="A14" s="7" t="inlineStr">
        <is>
          <t>Actual: Racial Minority Recruitment</t>
        </is>
      </c>
      <c r="B14" s="11" t="n">
        <v>25</v>
      </c>
      <c r="C14" s="11" t="n">
        <v>48</v>
      </c>
      <c r="D14" s="11" t="n">
        <v>59</v>
      </c>
      <c r="E14" s="11" t="n">
        <v>84</v>
      </c>
      <c r="F14" s="11" t="n">
        <v>96</v>
      </c>
      <c r="G14" s="11" t="n">
        <v>99</v>
      </c>
      <c r="H14" s="11" t="n"/>
      <c r="I14" s="9" t="n"/>
      <c r="J14" s="11" t="n"/>
      <c r="K14" s="11" t="n"/>
      <c r="L14" s="11" t="n"/>
      <c r="M14" s="11" t="n"/>
      <c r="N14" s="11" t="n"/>
      <c r="O14" s="11" t="n"/>
    </row>
    <row r="15">
      <c r="A15" s="7" t="inlineStr">
        <is>
          <t>Actual/Target Ratio: Racial Minority Recruitment</t>
        </is>
      </c>
      <c r="B15" s="12">
        <f>IF(OR(B14="",B13="",B13=0),"N/A",B14/B13)</f>
        <v/>
      </c>
      <c r="C15" s="12">
        <f>IF(OR(C14="",C13="",C13=0),"N/A",C14/C13)</f>
        <v/>
      </c>
      <c r="D15" s="12">
        <f>IF(OR(D14="",D13="",D13=0),"N/A",D14/D13)</f>
        <v/>
      </c>
      <c r="E15" s="12">
        <f>IF(OR(E14="",E13="",E13=0),"N/A",E14/E13)</f>
        <v/>
      </c>
      <c r="F15" s="12">
        <f>IF(OR(F14="",F13="",F13=0),"N/A",F14/F13)</f>
        <v/>
      </c>
      <c r="G15" s="12">
        <f>IF(OR(G14="",G13="",G13=0),"N/A",G14/G13)</f>
        <v/>
      </c>
      <c r="H15" s="12">
        <f>IF(OR(H14="",H13="",H13=0),"N/A",H14/H13)</f>
        <v/>
      </c>
      <c r="I15" s="13">
        <f>IF(OR(I14="",I13="",I13=0),"N/A",I14/I13)</f>
        <v/>
      </c>
      <c r="J15" s="12">
        <f>IF(OR(J14="",J13="",J13=0),"N/A",J14/J13)</f>
        <v/>
      </c>
      <c r="K15" s="12">
        <f>IF(OR(K14="",K13="",K13=0),"N/A",K14/K13)</f>
        <v/>
      </c>
      <c r="L15" s="12">
        <f>IF(OR(L14="",L13="",L13=0),"N/A",L14/L13)</f>
        <v/>
      </c>
      <c r="M15" s="12">
        <f>IF(OR(M14="",M13="",M13=0),"N/A",M14/M13)</f>
        <v/>
      </c>
      <c r="N15" s="12">
        <f>IF(OR(N14="",N13="",N13=0),"N/A",N14/N13)</f>
        <v/>
      </c>
      <c r="O15" s="12">
        <f>IF(OR(O14="",O13="",O13=0),"N/A",O14/O13)</f>
        <v/>
      </c>
    </row>
    <row r="16">
      <c r="A16" s="7" t="inlineStr">
        <is>
          <t>Status: Racial Minority Recruitment</t>
        </is>
      </c>
      <c r="B16" s="10">
        <f>IF(OR(B13="",B13=0),"N/A",IF(B14="","Not reported",IF(B14&gt;=B13,"On target","Behind")))</f>
        <v/>
      </c>
      <c r="C16" s="10">
        <f>IF(OR(C13="",C13=0),"N/A",IF(C14="","Not reported",IF(C14&gt;=C13,"On target","Behind")))</f>
        <v/>
      </c>
      <c r="D16" s="10">
        <f>IF(OR(D13="",D13=0),"N/A",IF(D14="","Not reported",IF(D14&gt;=D13,"On target","Behind")))</f>
        <v/>
      </c>
      <c r="E16" s="10">
        <f>IF(OR(E13="",E13=0),"N/A",IF(E14="","Not reported",IF(E14&gt;=E13,"On target","Behind")))</f>
        <v/>
      </c>
      <c r="F16" s="10">
        <f>IF(OR(F13="",F13=0),"N/A",IF(F14="","Not reported",IF(F14&gt;=F13,"On target","Behind")))</f>
        <v/>
      </c>
      <c r="G16" s="10">
        <f>IF(OR(G13="",G13=0),"N/A",IF(G14="","Not reported",IF(G14&gt;=G13,"On target","Behind")))</f>
        <v/>
      </c>
      <c r="H16" s="10">
        <f>IF(OR(H13="",H13=0),"N/A",IF(H14="","Not reported",IF(H14&gt;=H13,"On target","Behind")))</f>
        <v/>
      </c>
      <c r="I16" s="9">
        <f>IF(OR(I13="",I13=0),"N/A",IF(I14="","Not reported",IF(I14&gt;=I13,"On target","Behind")))</f>
        <v/>
      </c>
      <c r="J16" s="10">
        <f>IF(OR(J13="",J13=0),"N/A",IF(J14="","Not reported",IF(J14&gt;=J13,"On target","Behind")))</f>
        <v/>
      </c>
      <c r="K16" s="10">
        <f>IF(OR(K13="",K13=0),"N/A",IF(K14="","Not reported",IF(K14&gt;=K13,"On target","Behind")))</f>
        <v/>
      </c>
      <c r="L16" s="10">
        <f>IF(OR(L13="",L13=0),"N/A",IF(L14="","Not reported",IF(L14&gt;=L13,"On target","Behind")))</f>
        <v/>
      </c>
      <c r="M16" s="10">
        <f>IF(OR(M13="",M13=0),"N/A",IF(M14="","Not reported",IF(M14&gt;=M13,"On target","Behind")))</f>
        <v/>
      </c>
      <c r="N16" s="10">
        <f>IF(OR(N13="",N13=0),"N/A",IF(N14="","Not reported",IF(N14&gt;=N13,"On target","Behind")))</f>
        <v/>
      </c>
      <c r="O16" s="10">
        <f>IF(OR(O13="",O13=0),"N/A",IF(O14="","Not reported",IF(O14&gt;=O13,"On target","Behind")))</f>
        <v/>
      </c>
    </row>
    <row r="17" ht="10" customHeight="1">
      <c r="A17" s="6" t="n"/>
      <c r="B17" s="6" t="n"/>
      <c r="C17" s="6" t="n"/>
      <c r="D17" s="6" t="n"/>
      <c r="E17" s="6" t="n"/>
      <c r="F17" s="6" t="n"/>
      <c r="G17" s="6" t="n"/>
      <c r="H17" s="6" t="n"/>
      <c r="I17" s="6" t="n"/>
      <c r="J17" s="6" t="n"/>
      <c r="K17" s="6" t="n"/>
      <c r="L17" s="6" t="n"/>
      <c r="M17" s="6" t="n"/>
      <c r="N17" s="6" t="n"/>
      <c r="O17" s="6" t="n"/>
    </row>
    <row r="18">
      <c r="A18" s="7" t="inlineStr">
        <is>
          <t>Previous Target: Hispanic Ethnicity Recruitment</t>
        </is>
      </c>
      <c r="B18" s="8" t="n">
        <v>3</v>
      </c>
      <c r="C18" s="8" t="n">
        <v>5</v>
      </c>
      <c r="D18" s="8" t="n">
        <v>7</v>
      </c>
      <c r="E18" s="8" t="n">
        <v>9</v>
      </c>
      <c r="F18" s="8" t="n">
        <v>11</v>
      </c>
      <c r="G18" s="8" t="n">
        <v>13</v>
      </c>
      <c r="H18" s="8" t="n">
        <v>14</v>
      </c>
      <c r="I18" s="9" t="n"/>
      <c r="J18" s="8" t="n"/>
      <c r="K18" s="8" t="n"/>
      <c r="L18" s="8" t="n">
        <v>7</v>
      </c>
      <c r="M18" s="8" t="n"/>
      <c r="N18" s="8" t="n"/>
      <c r="O18" s="8" t="n"/>
    </row>
    <row r="19">
      <c r="A19" s="7" t="inlineStr">
        <is>
          <t>Current Target: Hispanic Ethnicity Recruitment</t>
        </is>
      </c>
      <c r="B19" s="10" t="n"/>
      <c r="C19" s="10" t="n"/>
      <c r="D19" s="10" t="n">
        <v>1</v>
      </c>
      <c r="E19" s="10" t="n"/>
      <c r="F19" s="10" t="n">
        <v>1</v>
      </c>
      <c r="G19" s="10" t="n"/>
      <c r="H19" s="10" t="n">
        <v>1</v>
      </c>
      <c r="I19" s="9" t="n"/>
      <c r="J19" s="10" t="n">
        <v>1</v>
      </c>
      <c r="K19" s="10" t="n"/>
      <c r="L19" s="10" t="n">
        <v>1</v>
      </c>
      <c r="M19" s="10" t="n">
        <v>10</v>
      </c>
      <c r="N19" s="10" t="n"/>
      <c r="O19" s="10" t="n"/>
    </row>
    <row r="20">
      <c r="A20" s="7" t="inlineStr">
        <is>
          <t>Actual: Hispanic Ethnicity Recruitment</t>
        </is>
      </c>
      <c r="B20" s="11" t="n">
        <v>5</v>
      </c>
      <c r="C20" s="11" t="n">
        <v>5</v>
      </c>
      <c r="D20" s="11" t="n">
        <v>7</v>
      </c>
      <c r="E20" s="11" t="n">
        <v>8</v>
      </c>
      <c r="F20" s="11" t="n">
        <v>11</v>
      </c>
      <c r="G20" s="11" t="n">
        <v>16</v>
      </c>
      <c r="H20" s="11" t="n"/>
      <c r="I20" s="9" t="n"/>
      <c r="J20" s="11" t="n"/>
      <c r="K20" s="11" t="n"/>
      <c r="L20" s="11" t="n"/>
      <c r="M20" s="11" t="n"/>
      <c r="N20" s="11" t="n"/>
      <c r="O20" s="11" t="n"/>
    </row>
    <row r="21">
      <c r="A21" s="7" t="inlineStr">
        <is>
          <t>Actual/Target Ratio: Hispanic Ethnicity Recruitment</t>
        </is>
      </c>
      <c r="B21" s="12">
        <f>IF(OR(B20="",B19="",B19=0),"N/A",B20/B19)</f>
        <v/>
      </c>
      <c r="C21" s="12">
        <f>IF(OR(C20="",C19="",C19=0),"N/A",C20/C19)</f>
        <v/>
      </c>
      <c r="D21" s="12">
        <f>IF(OR(D20="",D19="",D19=0),"N/A",D20/D19)</f>
        <v/>
      </c>
      <c r="E21" s="12">
        <f>IF(OR(E20="",E19="",E19=0),"N/A",E20/E19)</f>
        <v/>
      </c>
      <c r="F21" s="12">
        <f>IF(OR(F20="",F19="",F19=0),"N/A",F20/F19)</f>
        <v/>
      </c>
      <c r="G21" s="12">
        <f>IF(OR(G20="",G19="",G19=0),"N/A",G20/G19)</f>
        <v/>
      </c>
      <c r="H21" s="12">
        <f>IF(OR(H20="",H19="",H19=0),"N/A",H20/H19)</f>
        <v/>
      </c>
      <c r="I21" s="13">
        <f>IF(OR(I20="",I19="",I19=0),"N/A",I20/I19)</f>
        <v/>
      </c>
      <c r="J21" s="12">
        <f>IF(OR(J20="",J19="",J19=0),"N/A",J20/J19)</f>
        <v/>
      </c>
      <c r="K21" s="12">
        <f>IF(OR(K20="",K19="",K19=0),"N/A",K20/K19)</f>
        <v/>
      </c>
      <c r="L21" s="12">
        <f>IF(OR(L20="",L19="",L19=0),"N/A",L20/L19)</f>
        <v/>
      </c>
      <c r="M21" s="12">
        <f>IF(OR(M20="",M19="",M19=0),"N/A",M20/M19)</f>
        <v/>
      </c>
      <c r="N21" s="12">
        <f>IF(OR(N20="",N19="",N19=0),"N/A",N20/N19)</f>
        <v/>
      </c>
      <c r="O21" s="12">
        <f>IF(OR(O20="",O19="",O19=0),"N/A",O20/O19)</f>
        <v/>
      </c>
    </row>
    <row r="22">
      <c r="A22" s="7" t="inlineStr">
        <is>
          <t>Status: Hispanic Ethnicity Recruitment</t>
        </is>
      </c>
      <c r="B22" s="10">
        <f>IF(OR(B19="",B19=0),"N/A",IF(B20="","Not reported",IF(B20&gt;=B19,"On target","Behind")))</f>
        <v/>
      </c>
      <c r="C22" s="10">
        <f>IF(OR(C19="",C19=0),"N/A",IF(C20="","Not reported",IF(C20&gt;=C19,"On target","Behind")))</f>
        <v/>
      </c>
      <c r="D22" s="10">
        <f>IF(OR(D19="",D19=0),"N/A",IF(D20="","Not reported",IF(D20&gt;=D19,"On target","Behind")))</f>
        <v/>
      </c>
      <c r="E22" s="10">
        <f>IF(OR(E19="",E19=0),"N/A",IF(E20="","Not reported",IF(E20&gt;=E19,"On target","Behind")))</f>
        <v/>
      </c>
      <c r="F22" s="10">
        <f>IF(OR(F19="",F19=0),"N/A",IF(F20="","Not reported",IF(F20&gt;=F19,"On target","Behind")))</f>
        <v/>
      </c>
      <c r="G22" s="10">
        <f>IF(OR(G19="",G19=0),"N/A",IF(G20="","Not reported",IF(G20&gt;=G19,"On target","Behind")))</f>
        <v/>
      </c>
      <c r="H22" s="10">
        <f>IF(OR(H19="",H19=0),"N/A",IF(H20="","Not reported",IF(H20&gt;=H19,"On target","Behind")))</f>
        <v/>
      </c>
      <c r="I22" s="9">
        <f>IF(OR(I19="",I19=0),"N/A",IF(I20="","Not reported",IF(I20&gt;=I19,"On target","Behind")))</f>
        <v/>
      </c>
      <c r="J22" s="10">
        <f>IF(OR(J19="",J19=0),"N/A",IF(J20="","Not reported",IF(J20&gt;=J19,"On target","Behind")))</f>
        <v/>
      </c>
      <c r="K22" s="10">
        <f>IF(OR(K19="",K19=0),"N/A",IF(K20="","Not reported",IF(K20&gt;=K19,"On target","Behind")))</f>
        <v/>
      </c>
      <c r="L22" s="10">
        <f>IF(OR(L19="",L19=0),"N/A",IF(L20="","Not reported",IF(L20&gt;=L19,"On target","Behind")))</f>
        <v/>
      </c>
      <c r="M22" s="10">
        <f>IF(OR(M19="",M19=0),"N/A",IF(M20="","Not reported",IF(M20&gt;=M19,"On target","Behind")))</f>
        <v/>
      </c>
      <c r="N22" s="10">
        <f>IF(OR(N19="",N19=0),"N/A",IF(N20="","Not reported",IF(N20&gt;=N19,"On target","Behind")))</f>
        <v/>
      </c>
      <c r="O22" s="10">
        <f>IF(OR(O19="",O19=0),"N/A",IF(O20="","Not reported",IF(O20&gt;=O19,"On target","Behind")))</f>
        <v/>
      </c>
    </row>
    <row r="25">
      <c r="A25" s="14" t="inlineStr">
        <is>
          <t>Source, access, and mapping evidence</t>
        </is>
      </c>
    </row>
    <row r="26" ht="30" customHeight="1">
      <c r="A26" s="15" t="inlineStr">
        <is>
          <t>Project key</t>
        </is>
      </c>
      <c r="B26" s="16" t="inlineStr">
        <is>
          <t>NANO</t>
        </is>
      </c>
      <c r="C26" s="16" t="n"/>
      <c r="D26" s="16" t="n"/>
      <c r="E26" s="16" t="n"/>
      <c r="F26" s="16" t="n"/>
      <c r="G26" s="16" t="n"/>
      <c r="H26" s="16" t="n"/>
      <c r="I26" s="16" t="n"/>
      <c r="J26" s="16" t="n"/>
      <c r="K26" s="16" t="n"/>
      <c r="L26" s="16" t="n"/>
      <c r="M26" s="16" t="n"/>
      <c r="N26" s="16" t="n"/>
      <c r="O26" s="16" t="n"/>
    </row>
    <row r="27" ht="30" customHeight="1">
      <c r="A27" s="15" t="inlineStr">
        <is>
          <t>Observed REDCap project ID</t>
        </is>
      </c>
      <c r="B27" s="16" t="n">
        <v>4218</v>
      </c>
      <c r="C27" s="16" t="n"/>
      <c r="D27" s="16" t="n"/>
      <c r="E27" s="16" t="n"/>
      <c r="F27" s="16" t="n"/>
      <c r="G27" s="16" t="n"/>
      <c r="H27" s="16" t="n"/>
      <c r="I27" s="16" t="n"/>
      <c r="J27" s="16" t="n"/>
      <c r="K27" s="16" t="n"/>
      <c r="L27" s="16" t="n"/>
      <c r="M27" s="16" t="n"/>
      <c r="N27" s="16" t="n"/>
      <c r="O27" s="16" t="n"/>
    </row>
    <row r="28" ht="30" customHeight="1">
      <c r="A28" s="15" t="inlineStr">
        <is>
          <t>Observed REDCap project title</t>
        </is>
      </c>
      <c r="B28" s="16" t="inlineStr">
        <is>
          <t>NANO Study Surveys</t>
        </is>
      </c>
      <c r="C28" s="16" t="n"/>
      <c r="D28" s="16" t="n"/>
      <c r="E28" s="16" t="n"/>
      <c r="F28" s="16" t="n"/>
      <c r="G28" s="16" t="n"/>
      <c r="H28" s="16" t="n"/>
      <c r="I28" s="16" t="n"/>
      <c r="J28" s="16" t="n"/>
      <c r="K28" s="16" t="n"/>
      <c r="L28" s="16" t="n"/>
      <c r="M28" s="16" t="n"/>
      <c r="N28" s="16" t="n"/>
      <c r="O28" s="16" t="n"/>
    </row>
    <row r="29" ht="30" customHeight="1">
      <c r="A29" s="15" t="inlineStr">
        <is>
          <t>Report cutoff</t>
        </is>
      </c>
      <c r="B29" s="16" t="inlineStr">
        <is>
          <t>2026-09-17</t>
        </is>
      </c>
      <c r="C29" s="16" t="n"/>
      <c r="D29" s="16" t="n"/>
      <c r="E29" s="16" t="n"/>
      <c r="F29" s="16" t="n"/>
      <c r="G29" s="16" t="n"/>
      <c r="H29" s="16" t="n"/>
      <c r="I29" s="16" t="n"/>
      <c r="J29" s="16" t="n"/>
      <c r="K29" s="16" t="n"/>
      <c r="L29" s="16" t="n"/>
      <c r="M29" s="16" t="n"/>
      <c r="N29" s="16" t="n"/>
      <c r="O29" s="16" t="n"/>
    </row>
    <row r="30" ht="30" customHeight="1">
      <c r="A30" s="15" t="inlineStr">
        <is>
          <t>Enrollment-status mapping</t>
        </is>
      </c>
      <c r="B30" s="16" t="inlineStr">
        <is>
          <t>N/A - no protocol-confirmed field/rule in repository evidence</t>
        </is>
      </c>
      <c r="C30" s="16" t="n"/>
      <c r="D30" s="16" t="n"/>
      <c r="E30" s="16" t="n"/>
      <c r="F30" s="16" t="n"/>
      <c r="G30" s="16" t="n"/>
      <c r="H30" s="16" t="n"/>
      <c r="I30" s="16" t="n"/>
      <c r="J30" s="16" t="n"/>
      <c r="K30" s="16" t="n"/>
      <c r="L30" s="16" t="n"/>
      <c r="M30" s="16" t="n"/>
      <c r="N30" s="16" t="n"/>
      <c r="O30" s="16" t="n"/>
    </row>
    <row r="31" ht="30" customHeight="1">
      <c r="A31" s="15" t="inlineStr">
        <is>
          <t>Enrollment-date mapping</t>
        </is>
      </c>
      <c r="B31" s="16" t="inlineStr">
        <is>
          <t>N/A - no protocol-confirmed enrollment/consent date</t>
        </is>
      </c>
      <c r="C31" s="16" t="n"/>
      <c r="D31" s="16" t="n"/>
      <c r="E31" s="16" t="n"/>
      <c r="F31" s="16" t="n"/>
      <c r="G31" s="16" t="n"/>
      <c r="H31" s="16" t="n"/>
      <c r="I31" s="16" t="n"/>
      <c r="J31" s="16" t="n"/>
      <c r="K31" s="16" t="n"/>
      <c r="L31" s="16" t="n"/>
      <c r="M31" s="16" t="n"/>
      <c r="N31" s="16" t="n"/>
      <c r="O31" s="16" t="n"/>
    </row>
    <row r="32" ht="30" customHeight="1">
      <c r="A32" s="15" t="inlineStr">
        <is>
          <t>Target provenance</t>
        </is>
      </c>
      <c r="B32" s="16" t="inlineStr">
        <is>
          <t>Values transcribed unchanged from the user-supplied reference table and the existing repository configuration; protocol verification is not present in the repository.</t>
        </is>
      </c>
      <c r="C32" s="16" t="n"/>
      <c r="D32" s="16" t="n"/>
      <c r="E32" s="16" t="n"/>
      <c r="F32" s="16" t="n"/>
      <c r="G32" s="16" t="n"/>
      <c r="H32" s="16" t="n"/>
      <c r="I32" s="16" t="n"/>
      <c r="J32" s="16" t="n"/>
      <c r="K32" s="16" t="n"/>
      <c r="L32" s="16" t="n"/>
      <c r="M32" s="16" t="n"/>
      <c r="N32" s="16" t="n"/>
      <c r="O32" s="16" t="n"/>
    </row>
    <row r="33" ht="30" customHeight="1">
      <c r="A33" s="15" t="inlineStr">
        <is>
          <t>Actual provenance</t>
        </is>
      </c>
      <c r="B33" s="16" t="inlineStr">
        <is>
          <t>Published cumulative values transcribed unchanged from the user-supplied reference table; no enrollment-date recomputation.</t>
        </is>
      </c>
      <c r="C33" s="16" t="n"/>
      <c r="D33" s="16" t="n"/>
      <c r="E33" s="16" t="n"/>
      <c r="F33" s="16" t="n"/>
      <c r="G33" s="16" t="n"/>
      <c r="H33" s="16" t="n"/>
      <c r="I33" s="16" t="n"/>
      <c r="J33" s="16" t="n"/>
      <c r="K33" s="16" t="n"/>
      <c r="L33" s="16" t="n"/>
      <c r="M33" s="16" t="n"/>
      <c r="N33" s="16" t="n"/>
      <c r="O33" s="16" t="n"/>
    </row>
    <row r="34" ht="30" customHeight="1">
      <c r="A34" s="15" t="inlineStr">
        <is>
          <t>Required API reads</t>
        </is>
      </c>
      <c r="B34" s="16" t="inlineStr">
        <is>
          <t>project_info, metadata, instruments, events, event_mappings, minimal_records</t>
        </is>
      </c>
      <c r="C34" s="16" t="n"/>
      <c r="D34" s="16" t="n"/>
      <c r="E34" s="16" t="n"/>
      <c r="F34" s="16" t="n"/>
      <c r="G34" s="16" t="n"/>
      <c r="H34" s="16" t="n"/>
      <c r="I34" s="16" t="n"/>
      <c r="J34" s="16" t="n"/>
      <c r="K34" s="16" t="n"/>
      <c r="L34" s="16" t="n"/>
      <c r="M34" s="16" t="n"/>
      <c r="N34" s="16" t="n"/>
      <c r="O34" s="16" t="n"/>
    </row>
    <row r="35" ht="30" customHeight="1">
      <c r="A35" s="15" t="inlineStr">
        <is>
          <t>Participant records visible to token</t>
        </is>
      </c>
      <c r="B35" s="16" t="n">
        <v>221</v>
      </c>
      <c r="C35" s="16" t="n"/>
      <c r="D35" s="16" t="n"/>
      <c r="E35" s="16" t="n"/>
      <c r="F35" s="16" t="n"/>
      <c r="G35" s="16" t="n"/>
      <c r="H35" s="16" t="n"/>
      <c r="I35" s="16" t="n"/>
      <c r="J35" s="16" t="n"/>
      <c r="K35" s="16" t="n"/>
      <c r="L35" s="16" t="n"/>
      <c r="M35" s="16" t="n"/>
      <c r="N35" s="16" t="n"/>
      <c r="O35" s="16" t="n"/>
    </row>
    <row r="36" ht="30" customHeight="1">
      <c r="A36" s="15" t="inlineStr">
        <is>
          <t>Unresolved inclusion</t>
        </is>
      </c>
      <c r="B36" s="16" t="n">
        <v>206</v>
      </c>
      <c r="C36" s="16" t="n"/>
      <c r="D36" s="16" t="n"/>
      <c r="E36" s="16" t="n"/>
      <c r="F36" s="16" t="n"/>
      <c r="G36" s="16" t="n"/>
      <c r="H36" s="16" t="n"/>
      <c r="I36" s="16" t="n"/>
      <c r="J36" s="16" t="n"/>
      <c r="K36" s="16" t="n"/>
      <c r="L36" s="16" t="n"/>
      <c r="M36" s="16" t="n"/>
      <c r="N36" s="16" t="n"/>
      <c r="O36" s="16" t="n"/>
    </row>
    <row r="37" ht="30" customHeight="1">
      <c r="A37" s="15" t="inlineStr">
        <is>
          <t>Definitely excluded by source flags</t>
        </is>
      </c>
      <c r="B37" s="16" t="n">
        <v>15</v>
      </c>
      <c r="C37" s="16" t="n"/>
      <c r="D37" s="16" t="n"/>
      <c r="E37" s="16" t="n"/>
      <c r="F37" s="16" t="n"/>
      <c r="G37" s="16" t="n"/>
      <c r="H37" s="16" t="n"/>
      <c r="I37" s="16" t="n"/>
      <c r="J37" s="16" t="n"/>
      <c r="K37" s="16" t="n"/>
      <c r="L37" s="16" t="n"/>
      <c r="M37" s="16" t="n"/>
      <c r="N37" s="16" t="n"/>
      <c r="O37" s="16" t="n"/>
    </row>
  </sheetData>
  <autoFilter ref="A26:O37"/>
  <mergeCells count="21">
    <mergeCell ref="B26:O26"/>
    <mergeCell ref="A25:O25"/>
    <mergeCell ref="B35:O35"/>
    <mergeCell ref="B3:C3"/>
    <mergeCell ref="G3:I3"/>
    <mergeCell ref="B31:O31"/>
    <mergeCell ref="B27:O27"/>
    <mergeCell ref="A2:O2"/>
    <mergeCell ref="A3:A4"/>
    <mergeCell ref="M3:O3"/>
    <mergeCell ref="D3:F3"/>
    <mergeCell ref="J3:L3"/>
    <mergeCell ref="B29:O29"/>
    <mergeCell ref="B34:O34"/>
    <mergeCell ref="B37:O37"/>
    <mergeCell ref="B28:O28"/>
    <mergeCell ref="B30:O30"/>
    <mergeCell ref="B33:O33"/>
    <mergeCell ref="A1:O1"/>
    <mergeCell ref="B36:O36"/>
    <mergeCell ref="B32:O32"/>
  </mergeCells>
  <conditionalFormatting sqref="B10:O10">
    <cfRule type="expression" priority="1" dxfId="0">
      <formula>B10="On target"</formula>
    </cfRule>
    <cfRule type="expression" priority="2" dxfId="1">
      <formula>B10="Behind"</formula>
    </cfRule>
  </conditionalFormatting>
  <conditionalFormatting sqref="B16:O16">
    <cfRule type="expression" priority="3" dxfId="0">
      <formula>B16="On target"</formula>
    </cfRule>
    <cfRule type="expression" priority="4" dxfId="1">
      <formula>B16="Behind"</formula>
    </cfRule>
  </conditionalFormatting>
  <conditionalFormatting sqref="B22:O22">
    <cfRule type="expression" priority="5" dxfId="0">
      <formula>B22="On target"</formula>
    </cfRule>
    <cfRule type="expression" priority="6" dxfId="1">
      <formula>B22="Behind"</formula>
    </cfRule>
  </conditionalFormatting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ESD REDCap recruitment pipeline</dc:creator>
  <dc:title>NANO Recruitment Ground Truth</dc:title>
  <dc:subject>Aggregate</dc:subject>
  <dcterms:created xsi:type="dcterms:W3CDTF">2026-09-17T13:40:11Z</dcterms:created>
  <dcterms:modified xsi:type="dcterms:W3CDTF">2026-09-17T13:40:12Z</dcterms:modified>
</cp:coreProperties>
</file>